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5"/>
  </sheets>
  <definedNames>
    <definedName hidden="1" localSheetId="0" name="_xlnm._FilterDatabase">Planilha1!$A$11:$M$24</definedName>
  </definedNames>
  <calcPr/>
</workbook>
</file>

<file path=xl/sharedStrings.xml><?xml version="1.0" encoding="utf-8"?>
<sst xmlns="http://schemas.openxmlformats.org/spreadsheetml/2006/main" count="170" uniqueCount="93">
  <si>
    <t>FICHA DE CONTROLE DE TOUR PARA GRUPOS</t>
  </si>
  <si>
    <t>DATOS DEL TOUR CONDUCTOR</t>
  </si>
  <si>
    <t>NOMBRE</t>
  </si>
  <si>
    <t xml:space="preserve">NATHALIA </t>
  </si>
  <si>
    <t>NACIONALIDAD</t>
  </si>
  <si>
    <t>BRAZILEÑA</t>
  </si>
  <si>
    <t>TELEFONO / WHATSAPP</t>
  </si>
  <si>
    <t>(+55 69 9955-4060)</t>
  </si>
  <si>
    <t>APELLIDO</t>
  </si>
  <si>
    <t xml:space="preserve">SOAVE  TORTORA </t>
  </si>
  <si>
    <t>Nº PASSAPORT</t>
  </si>
  <si>
    <t>FV791037</t>
  </si>
  <si>
    <t>Nº VUELO INTERNACIONAL</t>
  </si>
  <si>
    <t>FECHA DE NASCIMENTO</t>
  </si>
  <si>
    <t>FECHA DE CADULCIDAD</t>
  </si>
  <si>
    <t xml:space="preserve">CORREO </t>
  </si>
  <si>
    <t>NOMBRE CONTACTO EMERGENCIA</t>
  </si>
  <si>
    <t>TELEFONE CONTATO EMERCIA</t>
  </si>
  <si>
    <t>LINK DEL DRIVE</t>
  </si>
  <si>
    <t>FECHA DE VENDA</t>
  </si>
  <si>
    <t>1º CIUDAD</t>
  </si>
  <si>
    <t xml:space="preserve">CUSCO </t>
  </si>
  <si>
    <t>FECHA DE INICIO</t>
  </si>
  <si>
    <t>FECHA FINAL DEL TOUR</t>
  </si>
  <si>
    <t>CANTIDAD DE DIAS DEL TOUR</t>
  </si>
  <si>
    <t>RESPONSABLE VENDA</t>
  </si>
  <si>
    <t>CANAL DE VENDA</t>
  </si>
  <si>
    <t>FECHA 1º DEPOSITO</t>
  </si>
  <si>
    <t>MEDIO DE PAGO</t>
  </si>
  <si>
    <t>MONTO TOTAL DE VENDA POR PASSAJERO</t>
  </si>
  <si>
    <t>DETALHES DEL TOUR</t>
  </si>
  <si>
    <t>NOMBRE DEL TOUR</t>
  </si>
  <si>
    <t>FECHA</t>
  </si>
  <si>
    <t xml:space="preserve">HORA </t>
  </si>
  <si>
    <t>Nº DIA</t>
  </si>
  <si>
    <t>OPERADOR</t>
  </si>
  <si>
    <t>DESCRIPCIÓN DEL SERVICIO</t>
  </si>
  <si>
    <t>NOMBRE DEL GUIA</t>
  </si>
  <si>
    <t>FECHA CONTRATACIÓN</t>
  </si>
  <si>
    <t>VALOR DEL SERVICIO</t>
  </si>
  <si>
    <t>RESPONSABLE PELA CONTRATACIÓN</t>
  </si>
  <si>
    <t>FECHA DE PAGO</t>
  </si>
  <si>
    <t>FECHA CONFIRM</t>
  </si>
  <si>
    <t>OBSERVACION</t>
  </si>
  <si>
    <t xml:space="preserve">TOUR VALLE VIP </t>
  </si>
  <si>
    <t xml:space="preserve">INGRESO SALINERAS </t>
  </si>
  <si>
    <t>BOLETO TURISTICO PARCIAL</t>
  </si>
  <si>
    <t xml:space="preserve">TOUR LAGUNA </t>
  </si>
  <si>
    <t xml:space="preserve">ING LAGUNA </t>
  </si>
  <si>
    <t xml:space="preserve">TRASLADO CUSCO OLLANTA </t>
  </si>
  <si>
    <t>TREN OLLANTA MP</t>
  </si>
  <si>
    <t xml:space="preserve">INRESO MP </t>
  </si>
  <si>
    <t xml:space="preserve">GUIADO </t>
  </si>
  <si>
    <t xml:space="preserve">BUS SUBIDA BAJADA </t>
  </si>
  <si>
    <t xml:space="preserve">TRASLADO OLLANTA CUSCO </t>
  </si>
  <si>
    <t xml:space="preserve">TOUR MONTAÑA </t>
  </si>
  <si>
    <t>ING MONTAÑA</t>
  </si>
  <si>
    <t>FINANCERO POR PASSSAJERO</t>
  </si>
  <si>
    <t>VALOR TOTAL DA VENTA</t>
  </si>
  <si>
    <t>N º PASSAJEROS</t>
  </si>
  <si>
    <t>TAJAS BANCARIAS</t>
  </si>
  <si>
    <t>TOTAL DE CUSTOS POR PASSAJERO</t>
  </si>
  <si>
    <t>LUCRO TOTAL POR PASSAJERO</t>
  </si>
  <si>
    <t>FINANCERO TOTAL DEL GRUPO</t>
  </si>
  <si>
    <t>TOUR CONDUCTOR</t>
  </si>
  <si>
    <t>TOTAL DE CUSTOS POR TODO EL GRUPO</t>
  </si>
  <si>
    <t>LUCRO TOTAL POR EL GRUPO</t>
  </si>
  <si>
    <t>01 - DATOS DEL PASSAJERO</t>
  </si>
  <si>
    <t xml:space="preserve">BRUNO GEFERSON </t>
  </si>
  <si>
    <t>BRASILEÑA</t>
  </si>
  <si>
    <t xml:space="preserve">MATOS SILVERIO </t>
  </si>
  <si>
    <t>FO288616</t>
  </si>
  <si>
    <t>29 /11/1986</t>
  </si>
  <si>
    <t>02 - DATOS DEL PASSAJERO</t>
  </si>
  <si>
    <t xml:space="preserve">EYK MATHEUS </t>
  </si>
  <si>
    <t xml:space="preserve">PEREIRA DE SOUSA </t>
  </si>
  <si>
    <t>FT951009</t>
  </si>
  <si>
    <t>03 - DATOS DEL PASSAJERO</t>
  </si>
  <si>
    <t xml:space="preserve">JULIANA </t>
  </si>
  <si>
    <t xml:space="preserve">BRASILEÑA </t>
  </si>
  <si>
    <t xml:space="preserve">COELHO DE LIMA </t>
  </si>
  <si>
    <t>FU373798</t>
  </si>
  <si>
    <t>04 - DATOS DEL PASSAJERO</t>
  </si>
  <si>
    <t xml:space="preserve">ULYSES </t>
  </si>
  <si>
    <t>SBSCZK AZIS PEREIREA</t>
  </si>
  <si>
    <t>GE11O651</t>
  </si>
  <si>
    <t>20/127/1990</t>
  </si>
  <si>
    <t>05 - DATOS DEL PASSAJERO</t>
  </si>
  <si>
    <t>BEATRIZ</t>
  </si>
  <si>
    <t xml:space="preserve">DA SILVA LIMA </t>
  </si>
  <si>
    <t>06 - DATOS DEL PASSAJERO</t>
  </si>
  <si>
    <t>RUHAMA</t>
  </si>
  <si>
    <t>TRAJANO DINIZ DIAS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</si>
</sst>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dd/MM/yyyy"/>
    <numFmt numFmtId="166" formatCode="_-[$$-409]* #,##0.00_ ;_-[$$-409]* \-#,##0.00\ ;_-[$$-409]* &quot;-&quot;??_ ;_-@_ "/>
    <numFmt numFmtId="167" formatCode="HH:mm:ss"/>
    <numFmt numFmtId="168" formatCode="[$$]#,##0.00"/>
  </numFmts>
  <fonts count="7">
    <font>
      <sz val="12.0"/>
      <color theme="1"/>
      <name val="Calibri"/>
      <scheme val="minor"/>
    </font>
    <font>
      <sz val="72.0"/>
      <color theme="1"/>
      <name val="Calibri"/>
    </font>
    <font/>
    <font>
      <b/>
      <sz val="12.0"/>
      <color rgb="FFFFFFFF"/>
      <name val="Calibri"/>
    </font>
    <font>
      <b/>
      <sz val="12.0"/>
      <color theme="1"/>
      <name val="Calibri"/>
    </font>
    <font>
      <sz val="12.0"/>
      <color theme="1"/>
      <name val="Calibri"/>
    </font>
    <font>
      <b/>
      <sz val="12.0"/>
      <color theme="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2D353F"/>
        <bgColor rgb="FF2D353F"/>
      </patternFill>
    </fill>
    <fill>
      <patternFill patternType="solid">
        <fgColor rgb="FF24BDCC"/>
        <bgColor rgb="FF24BDCC"/>
      </patternFill>
    </fill>
    <fill>
      <patternFill patternType="solid">
        <fgColor theme="0"/>
        <bgColor theme="0"/>
      </patternFill>
    </fill>
  </fills>
  <borders count="43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bottom/>
    </border>
    <border>
      <bottom/>
    </border>
    <border>
      <right style="medium">
        <color rgb="FF000000"/>
      </right>
      <bottom/>
    </border>
    <border>
      <left/>
      <right/>
      <top/>
      <bottom/>
    </border>
    <border>
      <left/>
      <top/>
      <bottom/>
    </border>
    <border>
      <top/>
      <bottom/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ill="1" applyFont="1">
      <alignment horizontal="center"/>
    </xf>
    <xf borderId="5" fillId="0" fontId="2" numFmtId="0" xfId="0" applyBorder="1" applyFont="1"/>
    <xf borderId="6" fillId="0" fontId="2" numFmtId="0" xfId="0" applyBorder="1" applyFont="1"/>
    <xf borderId="7" fillId="3" fontId="4" numFmtId="0" xfId="0" applyBorder="1" applyFill="1" applyFont="1"/>
    <xf borderId="8" fillId="0" fontId="5" numFmtId="0" xfId="0" applyAlignment="1" applyBorder="1" applyFont="1">
      <alignment horizontal="center" readingOrder="0"/>
    </xf>
    <xf borderId="9" fillId="0" fontId="2" numFmtId="0" xfId="0" applyBorder="1" applyFont="1"/>
    <xf borderId="10" fillId="0" fontId="2" numFmtId="0" xfId="0" applyBorder="1" applyFont="1"/>
    <xf borderId="8" fillId="3" fontId="4" numFmtId="0" xfId="0" applyAlignment="1" applyBorder="1" applyFont="1">
      <alignment horizontal="center"/>
    </xf>
    <xf borderId="11" fillId="3" fontId="4" numFmtId="0" xfId="0" applyBorder="1" applyFont="1"/>
    <xf borderId="12" fillId="0" fontId="5" numFmtId="0" xfId="0" applyAlignment="1" applyBorder="1" applyFont="1">
      <alignment horizontal="center" readingOrder="0"/>
    </xf>
    <xf borderId="13" fillId="0" fontId="2" numFmtId="0" xfId="0" applyBorder="1" applyFont="1"/>
    <xf borderId="14" fillId="0" fontId="2" numFmtId="0" xfId="0" applyBorder="1" applyFont="1"/>
    <xf borderId="8" fillId="0" fontId="5" numFmtId="0" xfId="0" applyAlignment="1" applyBorder="1" applyFont="1">
      <alignment horizontal="center"/>
    </xf>
    <xf borderId="15" fillId="0" fontId="2" numFmtId="0" xfId="0" applyBorder="1" applyFont="1"/>
    <xf borderId="8" fillId="0" fontId="5" numFmtId="164" xfId="0" applyAlignment="1" applyBorder="1" applyFont="1" applyNumberFormat="1">
      <alignment horizontal="center" readingOrder="0"/>
    </xf>
    <xf borderId="16" fillId="3" fontId="4" numFmtId="0" xfId="0" applyBorder="1" applyFont="1"/>
    <xf borderId="12" fillId="0" fontId="5" numFmtId="0" xfId="0" applyAlignment="1" applyBorder="1" applyFont="1">
      <alignment horizontal="center"/>
    </xf>
    <xf borderId="12" fillId="3" fontId="4" numFmtId="0" xfId="0" applyAlignment="1" applyBorder="1" applyFont="1">
      <alignment horizontal="center"/>
    </xf>
    <xf borderId="17" fillId="3" fontId="4" numFmtId="0" xfId="0" applyBorder="1" applyFont="1"/>
    <xf borderId="18" fillId="0" fontId="2" numFmtId="0" xfId="0" applyBorder="1" applyFont="1"/>
    <xf borderId="19" fillId="2" fontId="6" numFmtId="0" xfId="0" applyAlignment="1" applyBorder="1" applyFont="1">
      <alignment horizontal="center"/>
    </xf>
    <xf borderId="20" fillId="0" fontId="2" numFmtId="0" xfId="0" applyBorder="1" applyFont="1"/>
    <xf borderId="21" fillId="0" fontId="2" numFmtId="0" xfId="0" applyBorder="1" applyFont="1"/>
    <xf borderId="8" fillId="0" fontId="5" numFmtId="165" xfId="0" applyAlignment="1" applyBorder="1" applyFont="1" applyNumberFormat="1">
      <alignment horizontal="center" readingOrder="0"/>
    </xf>
    <xf borderId="11" fillId="3" fontId="4" numFmtId="0" xfId="0" applyAlignment="1" applyBorder="1" applyFont="1">
      <alignment horizontal="center" vertical="center"/>
    </xf>
    <xf borderId="11" fillId="0" fontId="5" numFmtId="0" xfId="0" applyAlignment="1" applyBorder="1" applyFont="1">
      <alignment readingOrder="0"/>
    </xf>
    <xf borderId="22" fillId="3" fontId="4" numFmtId="0" xfId="0" applyBorder="1" applyFont="1"/>
    <xf borderId="11" fillId="0" fontId="5" numFmtId="165" xfId="0" applyAlignment="1" applyBorder="1" applyFont="1" applyNumberFormat="1">
      <alignment readingOrder="0"/>
    </xf>
    <xf borderId="23" fillId="0" fontId="5" numFmtId="0" xfId="0" applyBorder="1" applyFont="1"/>
    <xf borderId="24" fillId="3" fontId="4" numFmtId="0" xfId="0" applyBorder="1" applyFont="1"/>
    <xf borderId="25" fillId="0" fontId="5" numFmtId="0" xfId="0" applyAlignment="1" applyBorder="1" applyFont="1">
      <alignment horizontal="center"/>
    </xf>
    <xf borderId="26" fillId="0" fontId="2" numFmtId="0" xfId="0" applyBorder="1" applyFont="1"/>
    <xf borderId="27" fillId="0" fontId="2" numFmtId="0" xfId="0" applyBorder="1" applyFont="1"/>
    <xf borderId="28" fillId="3" fontId="4" numFmtId="0" xfId="0" applyBorder="1" applyFont="1"/>
    <xf borderId="29" fillId="0" fontId="5" numFmtId="0" xfId="0" applyBorder="1" applyFont="1"/>
    <xf borderId="30" fillId="3" fontId="4" numFmtId="0" xfId="0" applyBorder="1" applyFont="1"/>
    <xf borderId="29" fillId="0" fontId="5" numFmtId="14" xfId="0" applyBorder="1" applyFont="1" applyNumberFormat="1"/>
    <xf borderId="28" fillId="3" fontId="4" numFmtId="14" xfId="0" applyBorder="1" applyFont="1" applyNumberFormat="1"/>
    <xf borderId="28" fillId="4" fontId="5" numFmtId="0" xfId="0" applyBorder="1" applyFill="1" applyFont="1"/>
    <xf borderId="31" fillId="0" fontId="5" numFmtId="166" xfId="0" applyBorder="1" applyFont="1" applyNumberFormat="1"/>
    <xf borderId="32" fillId="2" fontId="6" numFmtId="0" xfId="0" applyAlignment="1" applyBorder="1" applyFont="1">
      <alignment horizontal="center"/>
    </xf>
    <xf borderId="33" fillId="0" fontId="2" numFmtId="0" xfId="0" applyBorder="1" applyFont="1"/>
    <xf borderId="34" fillId="0" fontId="2" numFmtId="0" xfId="0" applyBorder="1" applyFont="1"/>
    <xf borderId="28" fillId="3" fontId="4" numFmtId="0" xfId="0" applyAlignment="1" applyBorder="1" applyFont="1">
      <alignment horizontal="left"/>
    </xf>
    <xf borderId="35" fillId="3" fontId="4" numFmtId="0" xfId="0" applyAlignment="1" applyBorder="1" applyFont="1">
      <alignment horizontal="left"/>
    </xf>
    <xf borderId="36" fillId="3" fontId="4" numFmtId="0" xfId="0" applyAlignment="1" applyBorder="1" applyFont="1">
      <alignment horizontal="left"/>
    </xf>
    <xf borderId="11" fillId="4" fontId="5" numFmtId="0" xfId="0" applyAlignment="1" applyBorder="1" applyFont="1">
      <alignment readingOrder="0"/>
    </xf>
    <xf borderId="11" fillId="4" fontId="5" numFmtId="167" xfId="0" applyBorder="1" applyFont="1" applyNumberFormat="1"/>
    <xf borderId="11" fillId="4" fontId="5" numFmtId="0" xfId="0" applyBorder="1" applyFont="1"/>
    <xf borderId="11" fillId="4" fontId="5" numFmtId="165" xfId="0" applyBorder="1" applyFont="1" applyNumberFormat="1"/>
    <xf borderId="11" fillId="4" fontId="5" numFmtId="168" xfId="0" applyBorder="1" applyFont="1" applyNumberFormat="1"/>
    <xf borderId="11" fillId="0" fontId="5" numFmtId="167" xfId="0" applyBorder="1" applyFont="1" applyNumberFormat="1"/>
    <xf borderId="11" fillId="0" fontId="5" numFmtId="0" xfId="0" applyBorder="1" applyFont="1"/>
    <xf borderId="11" fillId="0" fontId="5" numFmtId="165" xfId="0" applyBorder="1" applyFont="1" applyNumberFormat="1"/>
    <xf borderId="11" fillId="0" fontId="5" numFmtId="168" xfId="0" applyBorder="1" applyFont="1" applyNumberFormat="1"/>
    <xf borderId="11" fillId="0" fontId="5" numFmtId="164" xfId="0" applyBorder="1" applyFont="1" applyNumberFormat="1"/>
    <xf borderId="37" fillId="2" fontId="3" numFmtId="0" xfId="0" applyAlignment="1" applyBorder="1" applyFont="1">
      <alignment horizontal="center"/>
    </xf>
    <xf borderId="38" fillId="0" fontId="2" numFmtId="0" xfId="0" applyBorder="1" applyFont="1"/>
    <xf borderId="39" fillId="0" fontId="2" numFmtId="0" xfId="0" applyBorder="1" applyFont="1"/>
    <xf borderId="40" fillId="3" fontId="4" numFmtId="0" xfId="0" applyBorder="1" applyFont="1"/>
    <xf borderId="0" fillId="0" fontId="5" numFmtId="166" xfId="0" applyAlignment="1" applyFont="1" applyNumberFormat="1">
      <alignment horizontal="center"/>
    </xf>
    <xf borderId="0" fillId="0" fontId="5" numFmtId="0" xfId="0" applyAlignment="1" applyFont="1">
      <alignment horizontal="center"/>
    </xf>
    <xf borderId="0" fillId="0" fontId="5" numFmtId="166" xfId="0" applyFont="1" applyNumberFormat="1"/>
    <xf borderId="41" fillId="3" fontId="4" numFmtId="0" xfId="0" applyAlignment="1" applyBorder="1" applyFont="1">
      <alignment horizontal="center"/>
    </xf>
    <xf borderId="42" fillId="0" fontId="2" numFmtId="0" xfId="0" applyBorder="1" applyFont="1"/>
    <xf borderId="40" fillId="3" fontId="4" numFmtId="0" xfId="0" applyAlignment="1" applyBorder="1" applyFont="1">
      <alignment horizontal="center"/>
    </xf>
    <xf borderId="0" fillId="0" fontId="4" numFmtId="166" xfId="0" applyAlignment="1" applyFont="1" applyNumberFormat="1">
      <alignment horizontal="center"/>
    </xf>
    <xf borderId="32" fillId="2" fontId="3" numFmtId="0" xfId="0" applyAlignment="1" applyBorder="1" applyFont="1">
      <alignment horizontal="center"/>
    </xf>
    <xf borderId="0" fillId="0" fontId="5" numFmtId="168" xfId="0" applyAlignment="1" applyFont="1" applyNumberFormat="1">
      <alignment horizontal="center"/>
    </xf>
    <xf borderId="8" fillId="0" fontId="5" numFmtId="164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19050</xdr:rowOff>
    </xdr:from>
    <xdr:ext cx="1390650" cy="9810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9.67"/>
    <col customWidth="1" min="2" max="2" width="12.11"/>
    <col customWidth="1" min="3" max="3" width="15.44"/>
    <col customWidth="1" min="4" max="4" width="10.56"/>
    <col customWidth="1" min="5" max="5" width="19.11"/>
    <col customWidth="1" min="6" max="6" width="32.56"/>
    <col customWidth="1" min="7" max="7" width="20.0"/>
    <col customWidth="1" min="8" max="8" width="23.67"/>
    <col customWidth="1" min="9" max="9" width="21.78"/>
    <col customWidth="1" min="10" max="10" width="33.44"/>
    <col customWidth="1" min="11" max="11" width="17.11"/>
    <col customWidth="1" min="12" max="12" width="17.44"/>
    <col customWidth="1" min="13" max="13" width="47.67"/>
    <col customWidth="1" min="14" max="26" width="10.56"/>
  </cols>
  <sheetData>
    <row r="1" ht="81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15.75" customHeight="1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6"/>
    </row>
    <row r="3" ht="15.75" customHeight="1">
      <c r="A3" s="7" t="s">
        <v>2</v>
      </c>
      <c r="B3" s="8" t="s">
        <v>3</v>
      </c>
      <c r="C3" s="9"/>
      <c r="D3" s="9"/>
      <c r="E3" s="10"/>
      <c r="F3" s="11" t="s">
        <v>4</v>
      </c>
      <c r="G3" s="10"/>
      <c r="H3" s="8" t="s">
        <v>5</v>
      </c>
      <c r="I3" s="10"/>
      <c r="J3" s="12" t="s">
        <v>6</v>
      </c>
      <c r="K3" s="13" t="s">
        <v>7</v>
      </c>
      <c r="L3" s="14"/>
      <c r="M3" s="15"/>
    </row>
    <row r="4" ht="15.75" customHeight="1">
      <c r="A4" s="7" t="s">
        <v>8</v>
      </c>
      <c r="B4" s="8" t="s">
        <v>9</v>
      </c>
      <c r="C4" s="9"/>
      <c r="D4" s="9"/>
      <c r="E4" s="10"/>
      <c r="F4" s="11" t="s">
        <v>10</v>
      </c>
      <c r="G4" s="10"/>
      <c r="H4" s="8" t="s">
        <v>11</v>
      </c>
      <c r="I4" s="10"/>
      <c r="J4" s="12" t="s">
        <v>12</v>
      </c>
      <c r="K4" s="16"/>
      <c r="L4" s="9"/>
      <c r="M4" s="17"/>
    </row>
    <row r="5" ht="15.75" customHeight="1">
      <c r="A5" s="7" t="s">
        <v>13</v>
      </c>
      <c r="B5" s="18">
        <v>36518.0</v>
      </c>
      <c r="C5" s="9"/>
      <c r="D5" s="9"/>
      <c r="E5" s="10"/>
      <c r="F5" s="11" t="s">
        <v>14</v>
      </c>
      <c r="G5" s="10"/>
      <c r="H5" s="18">
        <v>46865.0</v>
      </c>
      <c r="I5" s="10"/>
      <c r="J5" s="12" t="s">
        <v>15</v>
      </c>
      <c r="K5" s="16"/>
      <c r="L5" s="9"/>
      <c r="M5" s="17"/>
    </row>
    <row r="6" ht="15.75" customHeight="1">
      <c r="A6" s="19" t="s">
        <v>16</v>
      </c>
      <c r="B6" s="20"/>
      <c r="C6" s="14"/>
      <c r="D6" s="14"/>
      <c r="E6" s="15"/>
      <c r="F6" s="21" t="s">
        <v>17</v>
      </c>
      <c r="G6" s="15"/>
      <c r="H6" s="20"/>
      <c r="I6" s="15"/>
      <c r="J6" s="22" t="s">
        <v>18</v>
      </c>
      <c r="K6" s="20"/>
      <c r="L6" s="14"/>
      <c r="M6" s="23"/>
    </row>
    <row r="7" ht="15.75" customHeight="1">
      <c r="A7" s="24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6"/>
    </row>
    <row r="8" ht="15.75" customHeight="1">
      <c r="A8" s="7" t="s">
        <v>19</v>
      </c>
      <c r="B8" s="27">
        <v>45625.0</v>
      </c>
      <c r="C8" s="9"/>
      <c r="D8" s="10"/>
      <c r="E8" s="28" t="s">
        <v>20</v>
      </c>
      <c r="F8" s="29" t="s">
        <v>21</v>
      </c>
      <c r="G8" s="30" t="s">
        <v>22</v>
      </c>
      <c r="H8" s="31">
        <v>45625.0</v>
      </c>
      <c r="I8" s="12" t="s">
        <v>23</v>
      </c>
      <c r="J8" s="31">
        <v>45660.0</v>
      </c>
      <c r="K8" s="11" t="s">
        <v>24</v>
      </c>
      <c r="L8" s="10"/>
      <c r="M8" s="32"/>
    </row>
    <row r="9" ht="15.75" customHeight="1">
      <c r="A9" s="33" t="s">
        <v>25</v>
      </c>
      <c r="B9" s="34"/>
      <c r="C9" s="35"/>
      <c r="D9" s="36"/>
      <c r="E9" s="37" t="s">
        <v>26</v>
      </c>
      <c r="F9" s="38"/>
      <c r="G9" s="39" t="s">
        <v>27</v>
      </c>
      <c r="H9" s="40"/>
      <c r="I9" s="41" t="s">
        <v>28</v>
      </c>
      <c r="J9" s="42"/>
      <c r="K9" s="21" t="s">
        <v>29</v>
      </c>
      <c r="L9" s="15"/>
      <c r="M9" s="43">
        <v>0.0</v>
      </c>
    </row>
    <row r="10" ht="15.75" customHeight="1">
      <c r="A10" s="44" t="s">
        <v>30</v>
      </c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6"/>
    </row>
    <row r="11" ht="15.75" customHeight="1">
      <c r="A11" s="33" t="s">
        <v>31</v>
      </c>
      <c r="B11" s="47" t="s">
        <v>32</v>
      </c>
      <c r="C11" s="47" t="s">
        <v>33</v>
      </c>
      <c r="D11" s="47" t="s">
        <v>34</v>
      </c>
      <c r="E11" s="47" t="s">
        <v>35</v>
      </c>
      <c r="F11" s="47" t="s">
        <v>36</v>
      </c>
      <c r="G11" s="47" t="s">
        <v>37</v>
      </c>
      <c r="H11" s="47" t="s">
        <v>38</v>
      </c>
      <c r="I11" s="47" t="s">
        <v>39</v>
      </c>
      <c r="J11" s="47" t="s">
        <v>40</v>
      </c>
      <c r="K11" s="47" t="s">
        <v>41</v>
      </c>
      <c r="L11" s="48" t="s">
        <v>42</v>
      </c>
      <c r="M11" s="49" t="s">
        <v>43</v>
      </c>
    </row>
    <row r="12" ht="15.75" customHeight="1">
      <c r="A12" s="50" t="s">
        <v>44</v>
      </c>
      <c r="B12" s="31">
        <v>45655.0</v>
      </c>
      <c r="C12" s="51"/>
      <c r="D12" s="50">
        <v>1.0</v>
      </c>
      <c r="E12" s="52"/>
      <c r="G12" s="52"/>
      <c r="H12" s="53"/>
      <c r="I12" s="54"/>
      <c r="J12" s="52"/>
      <c r="K12" s="53"/>
      <c r="L12" s="53"/>
      <c r="M12" s="52"/>
    </row>
    <row r="13" ht="15.75" customHeight="1">
      <c r="A13" s="50" t="s">
        <v>45</v>
      </c>
      <c r="B13" s="31">
        <v>45655.0</v>
      </c>
      <c r="C13" s="51"/>
      <c r="D13" s="50">
        <v>1.0</v>
      </c>
      <c r="E13" s="52"/>
      <c r="F13" s="52"/>
      <c r="G13" s="52"/>
      <c r="H13" s="53"/>
      <c r="I13" s="54"/>
      <c r="J13" s="52"/>
      <c r="K13" s="53"/>
      <c r="L13" s="53"/>
      <c r="M13" s="52"/>
    </row>
    <row r="14" ht="15.75" customHeight="1">
      <c r="A14" s="29" t="s">
        <v>46</v>
      </c>
      <c r="B14" s="31">
        <v>45655.0</v>
      </c>
      <c r="C14" s="55"/>
      <c r="D14" s="29">
        <v>1.0</v>
      </c>
      <c r="E14" s="56"/>
      <c r="F14" s="56"/>
      <c r="G14" s="56"/>
      <c r="H14" s="57"/>
      <c r="I14" s="58"/>
      <c r="J14" s="56"/>
      <c r="K14" s="57"/>
      <c r="L14" s="57"/>
      <c r="M14" s="52"/>
    </row>
    <row r="15" ht="15.75" customHeight="1">
      <c r="A15" s="29" t="s">
        <v>47</v>
      </c>
      <c r="B15" s="31">
        <v>45656.0</v>
      </c>
      <c r="C15" s="55"/>
      <c r="D15" s="29">
        <v>2.0</v>
      </c>
      <c r="E15" s="56"/>
      <c r="F15" s="56"/>
      <c r="G15" s="56"/>
      <c r="H15" s="57"/>
      <c r="I15" s="58"/>
      <c r="J15" s="56"/>
      <c r="K15" s="57"/>
      <c r="L15" s="57"/>
      <c r="M15" s="52"/>
    </row>
    <row r="16" ht="15.75" customHeight="1">
      <c r="A16" s="29" t="s">
        <v>48</v>
      </c>
      <c r="B16" s="31">
        <v>45656.0</v>
      </c>
      <c r="C16" s="55"/>
      <c r="D16" s="29">
        <v>2.0</v>
      </c>
      <c r="E16" s="56"/>
      <c r="F16" s="56"/>
      <c r="G16" s="56"/>
      <c r="H16" s="57"/>
      <c r="I16" s="58"/>
      <c r="J16" s="56"/>
      <c r="K16" s="57"/>
      <c r="L16" s="57"/>
      <c r="M16" s="59"/>
    </row>
    <row r="17" ht="15.75" customHeight="1">
      <c r="A17" s="29" t="s">
        <v>49</v>
      </c>
      <c r="B17" s="31">
        <v>45659.0</v>
      </c>
      <c r="C17" s="55"/>
      <c r="D17" s="29">
        <v>3.0</v>
      </c>
      <c r="E17" s="56"/>
      <c r="F17" s="56"/>
      <c r="G17" s="56"/>
      <c r="H17" s="57"/>
      <c r="I17" s="58"/>
      <c r="J17" s="56"/>
      <c r="K17" s="57"/>
      <c r="L17" s="57"/>
      <c r="M17" s="52"/>
    </row>
    <row r="18" ht="15.75" customHeight="1">
      <c r="A18" s="29" t="s">
        <v>50</v>
      </c>
      <c r="B18" s="31">
        <v>45659.0</v>
      </c>
      <c r="C18" s="55"/>
      <c r="D18" s="29">
        <v>3.0</v>
      </c>
      <c r="E18" s="56"/>
      <c r="F18" s="56"/>
      <c r="G18" s="56"/>
      <c r="H18" s="57"/>
      <c r="I18" s="58"/>
      <c r="J18" s="56"/>
      <c r="K18" s="57"/>
      <c r="L18" s="57"/>
      <c r="M18" s="52"/>
    </row>
    <row r="19" ht="15.75" customHeight="1">
      <c r="A19" s="29" t="s">
        <v>51</v>
      </c>
      <c r="B19" s="31">
        <v>45659.0</v>
      </c>
      <c r="C19" s="55"/>
      <c r="D19" s="29">
        <v>3.0</v>
      </c>
      <c r="E19" s="56"/>
      <c r="F19" s="56"/>
      <c r="G19" s="56"/>
      <c r="H19" s="57"/>
      <c r="I19" s="58"/>
      <c r="J19" s="56"/>
      <c r="K19" s="57"/>
      <c r="L19" s="57"/>
      <c r="M19" s="52"/>
    </row>
    <row r="20" ht="15.75" customHeight="1">
      <c r="A20" s="29" t="s">
        <v>52</v>
      </c>
      <c r="B20" s="31">
        <v>45659.0</v>
      </c>
      <c r="C20" s="55"/>
      <c r="D20" s="29">
        <v>3.0</v>
      </c>
      <c r="E20" s="56"/>
      <c r="F20" s="56"/>
      <c r="G20" s="56"/>
      <c r="H20" s="57"/>
      <c r="I20" s="58"/>
      <c r="J20" s="56"/>
      <c r="K20" s="57"/>
      <c r="L20" s="57"/>
      <c r="M20" s="56"/>
    </row>
    <row r="21" ht="15.75" customHeight="1">
      <c r="A21" s="29" t="s">
        <v>53</v>
      </c>
      <c r="B21" s="31">
        <v>45659.0</v>
      </c>
      <c r="C21" s="55"/>
      <c r="D21" s="29">
        <v>3.0</v>
      </c>
      <c r="E21" s="56"/>
      <c r="F21" s="56"/>
      <c r="G21" s="56"/>
      <c r="H21" s="57"/>
      <c r="I21" s="58"/>
      <c r="J21" s="56"/>
      <c r="K21" s="57"/>
      <c r="L21" s="57"/>
      <c r="M21" s="56"/>
    </row>
    <row r="22" ht="15.75" customHeight="1">
      <c r="A22" s="29" t="s">
        <v>54</v>
      </c>
      <c r="B22" s="31">
        <v>45659.0</v>
      </c>
      <c r="C22" s="55"/>
      <c r="D22" s="29">
        <v>3.0</v>
      </c>
      <c r="E22" s="56"/>
      <c r="F22" s="56"/>
      <c r="G22" s="56"/>
      <c r="H22" s="57"/>
      <c r="I22" s="58"/>
      <c r="J22" s="56"/>
      <c r="K22" s="57"/>
      <c r="L22" s="57"/>
      <c r="M22" s="56"/>
    </row>
    <row r="23" ht="15.75" customHeight="1">
      <c r="A23" s="29" t="s">
        <v>55</v>
      </c>
      <c r="B23" s="31">
        <v>45660.0</v>
      </c>
      <c r="C23" s="55"/>
      <c r="D23" s="29">
        <v>4.0</v>
      </c>
      <c r="E23" s="56"/>
      <c r="F23" s="56"/>
      <c r="G23" s="56"/>
      <c r="H23" s="57"/>
      <c r="I23" s="58"/>
      <c r="J23" s="56"/>
      <c r="K23" s="57"/>
      <c r="L23" s="57"/>
      <c r="M23" s="56"/>
    </row>
    <row r="24" ht="15.75" customHeight="1">
      <c r="A24" s="29" t="s">
        <v>56</v>
      </c>
      <c r="B24" s="31">
        <v>45660.0</v>
      </c>
      <c r="C24" s="55"/>
      <c r="D24" s="29">
        <v>4.0</v>
      </c>
      <c r="E24" s="56"/>
      <c r="F24" s="56"/>
      <c r="G24" s="56"/>
      <c r="H24" s="57"/>
      <c r="I24" s="58"/>
      <c r="J24" s="56"/>
      <c r="K24" s="57"/>
      <c r="L24" s="57"/>
      <c r="M24" s="56"/>
    </row>
    <row r="25" ht="15.75" customHeight="1">
      <c r="A25" s="60" t="s">
        <v>57</v>
      </c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2"/>
    </row>
    <row r="26" ht="15.75" customHeight="1">
      <c r="A26" s="63" t="s">
        <v>58</v>
      </c>
      <c r="B26" s="64">
        <f>M9</f>
        <v>0</v>
      </c>
      <c r="C26" s="63" t="s">
        <v>59</v>
      </c>
      <c r="D26" s="65">
        <v>0.0</v>
      </c>
      <c r="E26" s="63" t="s">
        <v>60</v>
      </c>
      <c r="F26" s="66">
        <v>0.0</v>
      </c>
      <c r="G26" s="67" t="s">
        <v>61</v>
      </c>
      <c r="H26" s="68"/>
      <c r="I26" s="66">
        <f>SUM(I12:I24)</f>
        <v>0</v>
      </c>
      <c r="J26" s="69" t="s">
        <v>62</v>
      </c>
      <c r="K26" s="70">
        <f>B26-F26-I26</f>
        <v>0</v>
      </c>
    </row>
    <row r="27" ht="15.75" customHeight="1">
      <c r="A27" s="71" t="s">
        <v>63</v>
      </c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6"/>
    </row>
    <row r="28" ht="15.75" customHeight="1">
      <c r="A28" s="63" t="s">
        <v>58</v>
      </c>
      <c r="B28" s="64">
        <f>B26*D26</f>
        <v>0</v>
      </c>
      <c r="C28" s="63" t="s">
        <v>64</v>
      </c>
      <c r="D28" s="72">
        <f>I26</f>
        <v>0</v>
      </c>
      <c r="E28" s="63" t="s">
        <v>60</v>
      </c>
      <c r="F28" s="66">
        <f>F26*D26</f>
        <v>0</v>
      </c>
      <c r="G28" s="67" t="s">
        <v>65</v>
      </c>
      <c r="H28" s="68"/>
      <c r="I28" s="66">
        <f>I26*D26+D28</f>
        <v>0</v>
      </c>
      <c r="J28" s="69" t="s">
        <v>66</v>
      </c>
      <c r="K28" s="70">
        <f>B28-F28-I28</f>
        <v>0</v>
      </c>
    </row>
    <row r="29" ht="15.75" customHeight="1">
      <c r="A29" s="4" t="s">
        <v>67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6"/>
    </row>
    <row r="30" ht="15.75" customHeight="1">
      <c r="A30" s="7" t="s">
        <v>2</v>
      </c>
      <c r="B30" s="8" t="s">
        <v>68</v>
      </c>
      <c r="C30" s="9"/>
      <c r="D30" s="9"/>
      <c r="E30" s="10"/>
      <c r="F30" s="11" t="s">
        <v>4</v>
      </c>
      <c r="G30" s="10"/>
      <c r="H30" s="8" t="s">
        <v>69</v>
      </c>
      <c r="I30" s="10"/>
      <c r="J30" s="12" t="s">
        <v>6</v>
      </c>
      <c r="K30" s="20"/>
      <c r="L30" s="14"/>
      <c r="M30" s="15"/>
    </row>
    <row r="31" ht="15.75" customHeight="1">
      <c r="A31" s="7" t="s">
        <v>8</v>
      </c>
      <c r="B31" s="8" t="s">
        <v>70</v>
      </c>
      <c r="C31" s="9"/>
      <c r="D31" s="9"/>
      <c r="E31" s="10"/>
      <c r="F31" s="11" t="s">
        <v>10</v>
      </c>
      <c r="G31" s="10"/>
      <c r="H31" s="8" t="s">
        <v>71</v>
      </c>
      <c r="I31" s="10"/>
      <c r="J31" s="12" t="s">
        <v>12</v>
      </c>
      <c r="K31" s="16"/>
      <c r="L31" s="9"/>
      <c r="M31" s="17"/>
    </row>
    <row r="32" ht="15.75" customHeight="1">
      <c r="A32" s="7" t="s">
        <v>13</v>
      </c>
      <c r="B32" s="8" t="s">
        <v>72</v>
      </c>
      <c r="C32" s="9"/>
      <c r="D32" s="9"/>
      <c r="E32" s="10"/>
      <c r="F32" s="11" t="s">
        <v>14</v>
      </c>
      <c r="G32" s="10"/>
      <c r="H32" s="18">
        <v>45881.0</v>
      </c>
      <c r="I32" s="10"/>
      <c r="J32" s="12" t="s">
        <v>15</v>
      </c>
      <c r="K32" s="16"/>
      <c r="L32" s="9"/>
      <c r="M32" s="17"/>
    </row>
    <row r="33" ht="15.75" customHeight="1">
      <c r="A33" s="19" t="s">
        <v>16</v>
      </c>
      <c r="B33" s="20"/>
      <c r="C33" s="14"/>
      <c r="D33" s="14"/>
      <c r="E33" s="15"/>
      <c r="F33" s="21" t="s">
        <v>17</v>
      </c>
      <c r="G33" s="15"/>
      <c r="H33" s="20"/>
      <c r="I33" s="15"/>
      <c r="J33" s="22" t="s">
        <v>18</v>
      </c>
      <c r="K33" s="20"/>
      <c r="L33" s="14"/>
      <c r="M33" s="23"/>
    </row>
    <row r="34" ht="15.75" customHeight="1">
      <c r="A34" s="4" t="s">
        <v>73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6"/>
    </row>
    <row r="35" ht="15.75" customHeight="1">
      <c r="A35" s="7" t="s">
        <v>2</v>
      </c>
      <c r="B35" s="8" t="s">
        <v>74</v>
      </c>
      <c r="C35" s="9"/>
      <c r="D35" s="9"/>
      <c r="E35" s="10"/>
      <c r="F35" s="11" t="s">
        <v>4</v>
      </c>
      <c r="G35" s="10"/>
      <c r="H35" s="8" t="s">
        <v>69</v>
      </c>
      <c r="I35" s="10"/>
      <c r="J35" s="12" t="s">
        <v>6</v>
      </c>
      <c r="K35" s="20"/>
      <c r="L35" s="14"/>
      <c r="M35" s="15"/>
    </row>
    <row r="36" ht="15.75" customHeight="1">
      <c r="A36" s="7" t="s">
        <v>8</v>
      </c>
      <c r="B36" s="8" t="s">
        <v>75</v>
      </c>
      <c r="C36" s="9"/>
      <c r="D36" s="9"/>
      <c r="E36" s="10"/>
      <c r="F36" s="11" t="s">
        <v>10</v>
      </c>
      <c r="G36" s="10"/>
      <c r="H36" s="8" t="s">
        <v>76</v>
      </c>
      <c r="I36" s="10"/>
      <c r="J36" s="12" t="s">
        <v>12</v>
      </c>
      <c r="K36" s="16"/>
      <c r="L36" s="9"/>
      <c r="M36" s="17"/>
    </row>
    <row r="37" ht="15.75" customHeight="1">
      <c r="A37" s="7" t="s">
        <v>13</v>
      </c>
      <c r="B37" s="18">
        <v>36277.0</v>
      </c>
      <c r="C37" s="9"/>
      <c r="D37" s="9"/>
      <c r="E37" s="10"/>
      <c r="F37" s="11" t="s">
        <v>14</v>
      </c>
      <c r="G37" s="10"/>
      <c r="H37" s="18">
        <v>46623.0</v>
      </c>
      <c r="I37" s="10"/>
      <c r="J37" s="12" t="s">
        <v>15</v>
      </c>
      <c r="K37" s="16"/>
      <c r="L37" s="9"/>
      <c r="M37" s="17"/>
    </row>
    <row r="38" ht="15.75" customHeight="1">
      <c r="A38" s="19" t="s">
        <v>16</v>
      </c>
      <c r="B38" s="20"/>
      <c r="C38" s="14"/>
      <c r="D38" s="14"/>
      <c r="E38" s="15"/>
      <c r="F38" s="21" t="s">
        <v>17</v>
      </c>
      <c r="G38" s="15"/>
      <c r="H38" s="20"/>
      <c r="I38" s="15"/>
      <c r="J38" s="22" t="s">
        <v>18</v>
      </c>
      <c r="K38" s="20"/>
      <c r="L38" s="14"/>
      <c r="M38" s="23"/>
    </row>
    <row r="39" ht="15.75" customHeight="1">
      <c r="A39" s="4" t="s">
        <v>77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6"/>
    </row>
    <row r="40" ht="15.75" customHeight="1">
      <c r="A40" s="7" t="s">
        <v>2</v>
      </c>
      <c r="B40" s="8" t="s">
        <v>78</v>
      </c>
      <c r="C40" s="9"/>
      <c r="D40" s="9"/>
      <c r="E40" s="10"/>
      <c r="F40" s="11" t="s">
        <v>4</v>
      </c>
      <c r="G40" s="10"/>
      <c r="H40" s="8" t="s">
        <v>79</v>
      </c>
      <c r="I40" s="10"/>
      <c r="J40" s="12" t="s">
        <v>6</v>
      </c>
      <c r="K40" s="20"/>
      <c r="L40" s="14"/>
      <c r="M40" s="15"/>
    </row>
    <row r="41" ht="15.75" customHeight="1">
      <c r="A41" s="7" t="s">
        <v>8</v>
      </c>
      <c r="B41" s="8" t="s">
        <v>80</v>
      </c>
      <c r="C41" s="9"/>
      <c r="D41" s="9"/>
      <c r="E41" s="10"/>
      <c r="F41" s="11" t="s">
        <v>10</v>
      </c>
      <c r="G41" s="10"/>
      <c r="H41" s="8" t="s">
        <v>81</v>
      </c>
      <c r="I41" s="10"/>
      <c r="J41" s="12" t="s">
        <v>12</v>
      </c>
      <c r="K41" s="16"/>
      <c r="L41" s="9"/>
      <c r="M41" s="17"/>
    </row>
    <row r="42" ht="15.75" customHeight="1">
      <c r="A42" s="7" t="s">
        <v>13</v>
      </c>
      <c r="B42" s="18">
        <v>32960.0</v>
      </c>
      <c r="C42" s="9"/>
      <c r="D42" s="9"/>
      <c r="E42" s="10"/>
      <c r="F42" s="11" t="s">
        <v>14</v>
      </c>
      <c r="G42" s="10"/>
      <c r="H42" s="18">
        <v>46683.0</v>
      </c>
      <c r="I42" s="10"/>
      <c r="J42" s="12" t="s">
        <v>15</v>
      </c>
      <c r="K42" s="16"/>
      <c r="L42" s="9"/>
      <c r="M42" s="17"/>
    </row>
    <row r="43" ht="15.75" customHeight="1">
      <c r="A43" s="19" t="s">
        <v>16</v>
      </c>
      <c r="B43" s="20"/>
      <c r="C43" s="14"/>
      <c r="D43" s="14"/>
      <c r="E43" s="15"/>
      <c r="F43" s="21" t="s">
        <v>17</v>
      </c>
      <c r="G43" s="15"/>
      <c r="H43" s="20"/>
      <c r="I43" s="15"/>
      <c r="J43" s="22" t="s">
        <v>18</v>
      </c>
      <c r="K43" s="20"/>
      <c r="L43" s="14"/>
      <c r="M43" s="23"/>
    </row>
    <row r="44" ht="15.75" customHeight="1">
      <c r="A44" s="4" t="s">
        <v>82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6"/>
    </row>
    <row r="45" ht="15.75" customHeight="1">
      <c r="A45" s="7" t="s">
        <v>2</v>
      </c>
      <c r="B45" s="8" t="s">
        <v>83</v>
      </c>
      <c r="C45" s="9"/>
      <c r="D45" s="9"/>
      <c r="E45" s="10"/>
      <c r="F45" s="11" t="s">
        <v>4</v>
      </c>
      <c r="G45" s="10"/>
      <c r="H45" s="8" t="s">
        <v>79</v>
      </c>
      <c r="I45" s="10"/>
      <c r="J45" s="12" t="s">
        <v>6</v>
      </c>
      <c r="K45" s="20"/>
      <c r="L45" s="14"/>
      <c r="M45" s="15"/>
    </row>
    <row r="46" ht="15.75" customHeight="1">
      <c r="A46" s="7" t="s">
        <v>8</v>
      </c>
      <c r="B46" s="8" t="s">
        <v>84</v>
      </c>
      <c r="C46" s="9"/>
      <c r="D46" s="9"/>
      <c r="E46" s="10"/>
      <c r="F46" s="11" t="s">
        <v>10</v>
      </c>
      <c r="G46" s="10"/>
      <c r="H46" s="8" t="s">
        <v>85</v>
      </c>
      <c r="I46" s="10"/>
      <c r="J46" s="12" t="s">
        <v>12</v>
      </c>
      <c r="K46" s="16"/>
      <c r="L46" s="9"/>
      <c r="M46" s="17"/>
    </row>
    <row r="47" ht="15.75" customHeight="1">
      <c r="A47" s="7" t="s">
        <v>13</v>
      </c>
      <c r="B47" s="8" t="s">
        <v>86</v>
      </c>
      <c r="C47" s="9"/>
      <c r="D47" s="9"/>
      <c r="E47" s="10"/>
      <c r="F47" s="11" t="s">
        <v>14</v>
      </c>
      <c r="G47" s="10"/>
      <c r="H47" s="18">
        <v>48321.0</v>
      </c>
      <c r="I47" s="10"/>
      <c r="J47" s="12" t="s">
        <v>15</v>
      </c>
      <c r="K47" s="16"/>
      <c r="L47" s="9"/>
      <c r="M47" s="17"/>
    </row>
    <row r="48" ht="15.75" customHeight="1">
      <c r="A48" s="19" t="s">
        <v>16</v>
      </c>
      <c r="B48" s="20"/>
      <c r="C48" s="14"/>
      <c r="D48" s="14"/>
      <c r="E48" s="15"/>
      <c r="F48" s="21" t="s">
        <v>17</v>
      </c>
      <c r="G48" s="15"/>
      <c r="H48" s="20"/>
      <c r="I48" s="15"/>
      <c r="J48" s="22" t="s">
        <v>18</v>
      </c>
      <c r="K48" s="20"/>
      <c r="L48" s="14"/>
      <c r="M48" s="23"/>
    </row>
    <row r="49" ht="15.75" customHeight="1">
      <c r="A49" s="4" t="s">
        <v>87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6"/>
    </row>
    <row r="50" ht="15.75" customHeight="1">
      <c r="A50" s="7" t="s">
        <v>2</v>
      </c>
      <c r="B50" s="8" t="s">
        <v>88</v>
      </c>
      <c r="C50" s="9"/>
      <c r="D50" s="9"/>
      <c r="E50" s="10"/>
      <c r="F50" s="11" t="s">
        <v>4</v>
      </c>
      <c r="G50" s="10"/>
      <c r="H50" s="8" t="s">
        <v>79</v>
      </c>
      <c r="I50" s="10"/>
      <c r="J50" s="12" t="s">
        <v>6</v>
      </c>
      <c r="K50" s="20"/>
      <c r="L50" s="14"/>
      <c r="M50" s="15"/>
    </row>
    <row r="51" ht="15.75" customHeight="1">
      <c r="A51" s="7" t="s">
        <v>8</v>
      </c>
      <c r="B51" s="8" t="s">
        <v>89</v>
      </c>
      <c r="C51" s="9"/>
      <c r="D51" s="9"/>
      <c r="E51" s="10"/>
      <c r="F51" s="11" t="s">
        <v>10</v>
      </c>
      <c r="G51" s="10"/>
      <c r="H51" s="8">
        <v>2.860720251E9</v>
      </c>
      <c r="I51" s="10"/>
      <c r="J51" s="12" t="s">
        <v>12</v>
      </c>
      <c r="K51" s="16"/>
      <c r="L51" s="9"/>
      <c r="M51" s="17"/>
    </row>
    <row r="52" ht="15.75" customHeight="1">
      <c r="A52" s="7" t="s">
        <v>13</v>
      </c>
      <c r="B52" s="18">
        <v>35551.0</v>
      </c>
      <c r="C52" s="9"/>
      <c r="D52" s="9"/>
      <c r="E52" s="10"/>
      <c r="F52" s="11" t="s">
        <v>14</v>
      </c>
      <c r="G52" s="10"/>
      <c r="H52" s="18">
        <v>49177.0</v>
      </c>
      <c r="I52" s="10"/>
      <c r="J52" s="12" t="s">
        <v>15</v>
      </c>
      <c r="K52" s="16"/>
      <c r="L52" s="9"/>
      <c r="M52" s="17"/>
    </row>
    <row r="53" ht="15.75" customHeight="1">
      <c r="A53" s="19" t="s">
        <v>16</v>
      </c>
      <c r="B53" s="20"/>
      <c r="C53" s="14"/>
      <c r="D53" s="14"/>
      <c r="E53" s="15"/>
      <c r="F53" s="21" t="s">
        <v>17</v>
      </c>
      <c r="G53" s="15"/>
      <c r="H53" s="20"/>
      <c r="I53" s="15"/>
      <c r="J53" s="22" t="s">
        <v>18</v>
      </c>
      <c r="K53" s="20"/>
      <c r="L53" s="14"/>
      <c r="M53" s="23"/>
    </row>
    <row r="54" ht="15.75" customHeight="1">
      <c r="A54" s="4" t="s">
        <v>90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6"/>
    </row>
    <row r="55" ht="15.75" customHeight="1">
      <c r="A55" s="7" t="s">
        <v>2</v>
      </c>
      <c r="B55" s="8" t="s">
        <v>91</v>
      </c>
      <c r="C55" s="9"/>
      <c r="D55" s="9"/>
      <c r="E55" s="10"/>
      <c r="F55" s="11" t="s">
        <v>4</v>
      </c>
      <c r="G55" s="10"/>
      <c r="H55" s="16"/>
      <c r="I55" s="10"/>
      <c r="J55" s="12" t="s">
        <v>6</v>
      </c>
      <c r="K55" s="20"/>
      <c r="L55" s="14"/>
      <c r="M55" s="15"/>
    </row>
    <row r="56" ht="15.75" customHeight="1">
      <c r="A56" s="7" t="s">
        <v>8</v>
      </c>
      <c r="B56" s="8" t="s">
        <v>92</v>
      </c>
      <c r="C56" s="9"/>
      <c r="D56" s="9"/>
      <c r="E56" s="10"/>
      <c r="F56" s="11" t="s">
        <v>10</v>
      </c>
      <c r="G56" s="10"/>
      <c r="H56" s="16"/>
      <c r="I56" s="10"/>
      <c r="J56" s="12" t="s">
        <v>12</v>
      </c>
      <c r="K56" s="16"/>
      <c r="L56" s="9"/>
      <c r="M56" s="17"/>
    </row>
    <row r="57" ht="15.75" customHeight="1">
      <c r="A57" s="7" t="s">
        <v>13</v>
      </c>
      <c r="B57" s="18">
        <v>35586.0</v>
      </c>
      <c r="C57" s="9"/>
      <c r="D57" s="9"/>
      <c r="E57" s="10"/>
      <c r="F57" s="11" t="s">
        <v>14</v>
      </c>
      <c r="G57" s="10"/>
      <c r="H57" s="73"/>
      <c r="I57" s="10"/>
      <c r="J57" s="12" t="s">
        <v>15</v>
      </c>
      <c r="K57" s="16"/>
      <c r="L57" s="9"/>
      <c r="M57" s="17"/>
    </row>
    <row r="58" ht="15.75" customHeight="1">
      <c r="A58" s="19" t="s">
        <v>16</v>
      </c>
      <c r="B58" s="20"/>
      <c r="C58" s="14"/>
      <c r="D58" s="14"/>
      <c r="E58" s="15"/>
      <c r="F58" s="21" t="s">
        <v>17</v>
      </c>
      <c r="G58" s="15"/>
      <c r="H58" s="20"/>
      <c r="I58" s="15"/>
      <c r="J58" s="22" t="s">
        <v>18</v>
      </c>
      <c r="K58" s="20"/>
      <c r="L58" s="14"/>
      <c r="M58" s="23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</sheetData>
  <autoFilter ref="$A$11:$M$24"/>
  <mergeCells count="132">
    <mergeCell ref="B37:E37"/>
    <mergeCell ref="F37:G37"/>
    <mergeCell ref="H37:I37"/>
    <mergeCell ref="B38:E38"/>
    <mergeCell ref="F38:G38"/>
    <mergeCell ref="H38:I38"/>
    <mergeCell ref="A39:M39"/>
    <mergeCell ref="B40:E40"/>
    <mergeCell ref="F40:G40"/>
    <mergeCell ref="H40:I40"/>
    <mergeCell ref="K40:M40"/>
    <mergeCell ref="F41:G41"/>
    <mergeCell ref="H41:I41"/>
    <mergeCell ref="K41:M41"/>
    <mergeCell ref="K42:M42"/>
    <mergeCell ref="K43:M43"/>
    <mergeCell ref="K45:M45"/>
    <mergeCell ref="K46:M46"/>
    <mergeCell ref="K47:M47"/>
    <mergeCell ref="K48:M48"/>
    <mergeCell ref="B41:E41"/>
    <mergeCell ref="B42:E42"/>
    <mergeCell ref="F42:G42"/>
    <mergeCell ref="H42:I42"/>
    <mergeCell ref="F43:G43"/>
    <mergeCell ref="H43:I43"/>
    <mergeCell ref="A44:M44"/>
    <mergeCell ref="B43:E43"/>
    <mergeCell ref="B45:E45"/>
    <mergeCell ref="F45:G45"/>
    <mergeCell ref="H45:I45"/>
    <mergeCell ref="B46:E46"/>
    <mergeCell ref="F46:G46"/>
    <mergeCell ref="H46:I46"/>
    <mergeCell ref="B47:E47"/>
    <mergeCell ref="F47:G47"/>
    <mergeCell ref="H47:I47"/>
    <mergeCell ref="B48:E48"/>
    <mergeCell ref="F48:G48"/>
    <mergeCell ref="H48:I48"/>
    <mergeCell ref="A49:M49"/>
    <mergeCell ref="B57:E57"/>
    <mergeCell ref="B58:E58"/>
    <mergeCell ref="F58:G58"/>
    <mergeCell ref="H58:I58"/>
    <mergeCell ref="K58:M58"/>
    <mergeCell ref="B30:E30"/>
    <mergeCell ref="F30:G30"/>
    <mergeCell ref="H30:I30"/>
    <mergeCell ref="K30:M30"/>
    <mergeCell ref="F31:G31"/>
    <mergeCell ref="H31:I31"/>
    <mergeCell ref="K31:M31"/>
    <mergeCell ref="B31:E31"/>
    <mergeCell ref="B32:E32"/>
    <mergeCell ref="F32:G32"/>
    <mergeCell ref="H32:I32"/>
    <mergeCell ref="F33:G33"/>
    <mergeCell ref="H33:I33"/>
    <mergeCell ref="A34:M34"/>
    <mergeCell ref="A1:M1"/>
    <mergeCell ref="A2:M2"/>
    <mergeCell ref="B3:E3"/>
    <mergeCell ref="F3:G3"/>
    <mergeCell ref="H3:I3"/>
    <mergeCell ref="K3:M3"/>
    <mergeCell ref="B4:E4"/>
    <mergeCell ref="K4:M4"/>
    <mergeCell ref="F6:G6"/>
    <mergeCell ref="H6:I6"/>
    <mergeCell ref="F4:G4"/>
    <mergeCell ref="H4:I4"/>
    <mergeCell ref="B5:E5"/>
    <mergeCell ref="F5:G5"/>
    <mergeCell ref="H5:I5"/>
    <mergeCell ref="K5:M5"/>
    <mergeCell ref="K6:M6"/>
    <mergeCell ref="B6:E6"/>
    <mergeCell ref="A7:M7"/>
    <mergeCell ref="B8:D8"/>
    <mergeCell ref="K8:L8"/>
    <mergeCell ref="B9:D9"/>
    <mergeCell ref="K9:L9"/>
    <mergeCell ref="A10:M10"/>
    <mergeCell ref="A25:M25"/>
    <mergeCell ref="G26:H26"/>
    <mergeCell ref="K26:M26"/>
    <mergeCell ref="A27:M27"/>
    <mergeCell ref="G28:H28"/>
    <mergeCell ref="K28:M28"/>
    <mergeCell ref="A29:M29"/>
    <mergeCell ref="K32:M32"/>
    <mergeCell ref="K33:M33"/>
    <mergeCell ref="K35:M35"/>
    <mergeCell ref="K36:M36"/>
    <mergeCell ref="K37:M37"/>
    <mergeCell ref="K38:M38"/>
    <mergeCell ref="B33:E33"/>
    <mergeCell ref="B35:E35"/>
    <mergeCell ref="F35:G35"/>
    <mergeCell ref="H35:I35"/>
    <mergeCell ref="B36:E36"/>
    <mergeCell ref="F36:G36"/>
    <mergeCell ref="H36:I36"/>
    <mergeCell ref="B50:E50"/>
    <mergeCell ref="F50:G50"/>
    <mergeCell ref="H50:I50"/>
    <mergeCell ref="K50:M50"/>
    <mergeCell ref="F51:G51"/>
    <mergeCell ref="H51:I51"/>
    <mergeCell ref="K51:M51"/>
    <mergeCell ref="B51:E51"/>
    <mergeCell ref="B52:E52"/>
    <mergeCell ref="F52:G52"/>
    <mergeCell ref="H52:I52"/>
    <mergeCell ref="B53:E53"/>
    <mergeCell ref="F53:G53"/>
    <mergeCell ref="H53:I53"/>
    <mergeCell ref="K52:M52"/>
    <mergeCell ref="K53:M53"/>
    <mergeCell ref="A54:M54"/>
    <mergeCell ref="B55:E55"/>
    <mergeCell ref="F55:G55"/>
    <mergeCell ref="H55:I55"/>
    <mergeCell ref="K55:M55"/>
    <mergeCell ref="B56:E56"/>
    <mergeCell ref="F56:G56"/>
    <mergeCell ref="H56:I56"/>
    <mergeCell ref="K56:M56"/>
    <mergeCell ref="F57:G57"/>
    <mergeCell ref="H57:I57"/>
    <mergeCell ref="K57:M57"/>
  </mergeCells>
  <printOptions/>
  <pageMargins bottom="0.787401575" footer="0.0" header="0.0" left="0.511811024" right="0.511811024" top="0.787401575"/>
  <pageSetup paperSize="9" scale="39" orientation="landscape"/>
  <drawing r:id="rId1"/>
</worksheet>
</file>